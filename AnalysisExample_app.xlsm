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mare\Desktop\meriagtx\"/>
    </mc:Choice>
  </mc:AlternateContent>
  <xr:revisionPtr revIDLastSave="0" documentId="13_ncr:1_{2E65BDD6-406A-48DF-8E50-CD94EB57A5F4}" xr6:coauthVersionLast="47" xr6:coauthVersionMax="47" xr10:uidLastSave="{00000000-0000-0000-0000-000000000000}"/>
  <bookViews>
    <workbookView xWindow="-93" yWindow="-93" windowWidth="20666" windowHeight="12266" tabRatio="590" activeTab="1" xr2:uid="{2A8CD1FF-1403-4EB3-B08A-9DE8FB57F007}"/>
  </bookViews>
  <sheets>
    <sheet name="PlateLayout" sheetId="3" r:id="rId1"/>
    <sheet name="Standards" sheetId="4" r:id="rId2"/>
    <sheet name="Samples" sheetId="5" r:id="rId3"/>
  </sheets>
  <externalReferences>
    <externalReference r:id="rId4"/>
  </externalReferences>
  <definedNames>
    <definedName name="Exclude">OFFSET([1]Lists!$G$2,0,0,COUNTA([1]Lists!$G:$G)-1)</definedName>
    <definedName name="Initial_dilution">[1]Assay_parameters!$C$10</definedName>
    <definedName name="Rx_volume">[1]Assay_parameters!$C$9</definedName>
    <definedName name="Sample_type">OFFSET([1]Lists!$B$2,0,0,COUNTA([1]Lists!$B:$B)-1)</definedName>
    <definedName name="std_CT_range">Standards!$E$5:$E$11</definedName>
    <definedName name="std_efficiency">Standards!$C$21</definedName>
    <definedName name="std_intercept">[1]Standards!$C$43</definedName>
    <definedName name="std_logconc_range">Standards!$D$5:$D$17</definedName>
    <definedName name="std_rsq">Standards!#REF!</definedName>
    <definedName name="std_slope">[1]Standards!$C$42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4" l="1"/>
  <c r="B20" i="4"/>
  <c r="B19" i="4"/>
  <c r="C19" i="4" l="1"/>
  <c r="D21" i="4"/>
  <c r="B18" i="4"/>
  <c r="D18" i="4" s="1"/>
  <c r="D20" i="4"/>
  <c r="C20" i="4"/>
  <c r="D19" i="4"/>
</calcChain>
</file>

<file path=xl/sharedStrings.xml><?xml version="1.0" encoding="utf-8"?>
<sst xmlns="http://schemas.openxmlformats.org/spreadsheetml/2006/main" count="251" uniqueCount="88">
  <si>
    <t>Dilution</t>
  </si>
  <si>
    <t>Replicate</t>
  </si>
  <si>
    <t>PLATE LAYOUT</t>
  </si>
  <si>
    <t>A</t>
  </si>
  <si>
    <t>STD01_r01</t>
  </si>
  <si>
    <t>STD01_r02</t>
  </si>
  <si>
    <t>STD01_r03</t>
  </si>
  <si>
    <t>Standard</t>
  </si>
  <si>
    <t>Sample</t>
  </si>
  <si>
    <t>B</t>
  </si>
  <si>
    <t>STD02_r01</t>
  </si>
  <si>
    <t>STD02_r02</t>
  </si>
  <si>
    <t>STD02_r03</t>
  </si>
  <si>
    <t>C</t>
  </si>
  <si>
    <t>STD03_r01</t>
  </si>
  <si>
    <t>STD03_r02</t>
  </si>
  <si>
    <t>STD03_r03</t>
  </si>
  <si>
    <t>D</t>
  </si>
  <si>
    <t>STD04_r01</t>
  </si>
  <si>
    <t>STD04_r02</t>
  </si>
  <si>
    <t>STD04_r03</t>
  </si>
  <si>
    <t>E</t>
  </si>
  <si>
    <t>STD05_r01</t>
  </si>
  <si>
    <t>STD05_r02</t>
  </si>
  <si>
    <t>STD05_r03</t>
  </si>
  <si>
    <t>F</t>
  </si>
  <si>
    <t>STD06_r01</t>
  </si>
  <si>
    <t>STD06_r02</t>
  </si>
  <si>
    <t>STD06_r03</t>
  </si>
  <si>
    <t>G</t>
  </si>
  <si>
    <t>STD07_r01</t>
  </si>
  <si>
    <t>STD07_r02</t>
  </si>
  <si>
    <t>STD07_r03</t>
  </si>
  <si>
    <t>H</t>
  </si>
  <si>
    <t>Sample1_r01</t>
  </si>
  <si>
    <t>Sample1_r02</t>
  </si>
  <si>
    <t>Sample1_r03</t>
  </si>
  <si>
    <t>Sample3_r01</t>
  </si>
  <si>
    <t>Sample3_r02</t>
  </si>
  <si>
    <t>Sample3_r03</t>
  </si>
  <si>
    <t>Sample2_r01</t>
  </si>
  <si>
    <t>Sample2_r02</t>
  </si>
  <si>
    <t>Sample2_r03</t>
  </si>
  <si>
    <t>CT result</t>
  </si>
  <si>
    <t>Processed standard data</t>
  </si>
  <si>
    <t>Template Conc. (copies/rxn)</t>
  </si>
  <si>
    <t>Log template Conc.</t>
  </si>
  <si>
    <t>Ct SD</t>
  </si>
  <si>
    <t>STD01</t>
  </si>
  <si>
    <t>STD02</t>
  </si>
  <si>
    <t>STD03</t>
  </si>
  <si>
    <t>STD04</t>
  </si>
  <si>
    <t>STD05</t>
  </si>
  <si>
    <t>STD06</t>
  </si>
  <si>
    <t>STD07</t>
  </si>
  <si>
    <t>Parameter</t>
  </si>
  <si>
    <t>Value</t>
  </si>
  <si>
    <t>Specification</t>
  </si>
  <si>
    <t>Status</t>
  </si>
  <si>
    <t>Efficiency</t>
  </si>
  <si>
    <t>Slope</t>
  </si>
  <si>
    <t>Y-Intercept</t>
  </si>
  <si>
    <t>RSQ</t>
  </si>
  <si>
    <r>
      <rPr>
        <sz val="9"/>
        <color rgb="FF000000"/>
        <rFont val="Calibri"/>
        <family val="2"/>
      </rPr>
      <t>≥</t>
    </r>
    <r>
      <rPr>
        <sz val="9"/>
        <color rgb="FF000000"/>
        <rFont val="Calibri"/>
        <family val="2"/>
      </rPr>
      <t xml:space="preserve"> 0.95</t>
    </r>
  </si>
  <si>
    <t>Raw samples data</t>
  </si>
  <si>
    <t>Sample name</t>
  </si>
  <si>
    <t>VG/rx well</t>
  </si>
  <si>
    <t>VG/mL</t>
  </si>
  <si>
    <t>Processed samples data</t>
  </si>
  <si>
    <t>Sample ID</t>
  </si>
  <si>
    <t>Replicate mean VG conc. (VG/mL)</t>
  </si>
  <si>
    <t>Replicate SD</t>
  </si>
  <si>
    <t>Replicate CV</t>
  </si>
  <si>
    <t>VG titre (VG/mL)</t>
  </si>
  <si>
    <t>VG titre SD</t>
  </si>
  <si>
    <t>CV (%)</t>
  </si>
  <si>
    <t>Sample2</t>
  </si>
  <si>
    <t>Sample3</t>
  </si>
  <si>
    <t>Sample1</t>
  </si>
  <si>
    <t>Assay Name</t>
  </si>
  <si>
    <t>UK-2024-05-04-qPCR-target-JaDo</t>
  </si>
  <si>
    <t>Date</t>
  </si>
  <si>
    <t>No</t>
  </si>
  <si>
    <t>90-100 %</t>
  </si>
  <si>
    <t>f</t>
  </si>
  <si>
    <t>Sample Name</t>
  </si>
  <si>
    <t>CT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</si>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</sst>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;\-###0.000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000000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9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name val="Aptos Narrow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b/>
      <sz val="9"/>
      <color rgb="FF000000"/>
      <name val="Calibri"/>
      <family val="2"/>
    </font>
    <font>
      <sz val="11"/>
      <color rgb="FF000000"/>
      <name val="Aptos Narrow"/>
      <family val="2"/>
    </font>
    <font>
      <sz val="11"/>
      <color rgb="FFFF6600"/>
      <name val="Aptos Narrow"/>
      <family val="2"/>
    </font>
    <font>
      <sz val="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8" fillId="0" borderId="0" xfId="0" applyFont="1"/>
    <xf numFmtId="0" fontId="2" fillId="0" borderId="0" xfId="0" applyFont="1"/>
    <xf numFmtId="0" fontId="6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3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/>
    </xf>
    <xf numFmtId="2" fontId="5" fillId="2" borderId="2" xfId="0" applyNumberFormat="1" applyFont="1" applyFill="1" applyBorder="1" applyAlignment="1">
      <alignment horizontal="center" vertical="center"/>
    </xf>
    <xf numFmtId="10" fontId="6" fillId="0" borderId="2" xfId="0" applyNumberFormat="1" applyFont="1" applyBorder="1" applyAlignment="1">
      <alignment horizontal="center" vertical="center"/>
    </xf>
    <xf numFmtId="11" fontId="6" fillId="0" borderId="2" xfId="0" applyNumberFormat="1" applyFont="1" applyBorder="1" applyAlignment="1">
      <alignment horizontal="center"/>
    </xf>
    <xf numFmtId="11" fontId="6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5" borderId="4" xfId="0" applyFont="1" applyFill="1" applyBorder="1" applyAlignment="1">
      <alignment horizontal="left"/>
    </xf>
    <xf numFmtId="0" fontId="4" fillId="6" borderId="4" xfId="0" applyFont="1" applyFill="1" applyBorder="1" applyAlignment="1">
      <alignment horizontal="left"/>
    </xf>
    <xf numFmtId="11" fontId="4" fillId="4" borderId="5" xfId="0" applyNumberFormat="1" applyFont="1" applyFill="1" applyBorder="1" applyAlignment="1">
      <alignment horizontal="left"/>
    </xf>
    <xf numFmtId="11" fontId="4" fillId="5" borderId="5" xfId="0" applyNumberFormat="1" applyFont="1" applyFill="1" applyBorder="1" applyAlignment="1">
      <alignment horizontal="left"/>
    </xf>
    <xf numFmtId="11" fontId="4" fillId="6" borderId="5" xfId="0" applyNumberFormat="1" applyFont="1" applyFill="1" applyBorder="1" applyAlignment="1">
      <alignment horizontal="left"/>
    </xf>
    <xf numFmtId="0" fontId="10" fillId="0" borderId="2" xfId="0" applyFont="1" applyBorder="1" applyAlignment="1">
      <alignment horizontal="center" vertical="center"/>
    </xf>
    <xf numFmtId="11" fontId="10" fillId="0" borderId="2" xfId="0" applyNumberFormat="1" applyFont="1" applyBorder="1" applyAlignment="1">
      <alignment horizontal="center" vertical="center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2" fontId="10" fillId="0" borderId="2" xfId="0" applyNumberFormat="1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 wrapText="1"/>
      <protection locked="0"/>
    </xf>
    <xf numFmtId="10" fontId="10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14" fontId="0" fillId="0" borderId="0" xfId="0" applyNumberFormat="1"/>
    <xf numFmtId="0" fontId="1" fillId="0" borderId="0" xfId="0" applyFont="1"/>
    <xf numFmtId="0" fontId="10" fillId="0" borderId="7" xfId="0" applyFont="1" applyBorder="1" applyAlignment="1">
      <alignment horizontal="center" vertical="center"/>
    </xf>
    <xf numFmtId="2" fontId="10" fillId="0" borderId="6" xfId="0" applyNumberFormat="1" applyFont="1" applyBorder="1" applyAlignment="1">
      <alignment horizontal="center" vertical="center"/>
    </xf>
    <xf numFmtId="0" fontId="9" fillId="3" borderId="10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11" xfId="0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>
      <alignment horizontal="center" vertical="center"/>
    </xf>
    <xf numFmtId="11" fontId="10" fillId="0" borderId="8" xfId="0" applyNumberFormat="1" applyFont="1" applyBorder="1" applyAlignment="1">
      <alignment horizontal="center" vertical="center"/>
    </xf>
    <xf numFmtId="2" fontId="10" fillId="0" borderId="8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6" fillId="0" borderId="8" xfId="0" applyNumberFormat="1" applyFont="1" applyBorder="1" applyAlignment="1">
      <alignment horizontal="center" vertical="center"/>
    </xf>
    <xf numFmtId="11" fontId="6" fillId="0" borderId="9" xfId="0" applyNumberFormat="1" applyFont="1" applyBorder="1" applyAlignment="1">
      <alignment horizontal="center" vertical="center"/>
    </xf>
    <xf numFmtId="11" fontId="6" fillId="0" borderId="3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13"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15" formatCode="0.00E+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rgb="FFFFC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4367208689898734E-2"/>
                  <c:y val="-0.66763678578639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[1]Standards!$F$31:$F$37</c:f>
                <c:numCache>
                  <c:formatCode>General</c:formatCode>
                  <c:ptCount val="7"/>
                  <c:pt idx="0">
                    <c:v>0.28745863933949173</c:v>
                  </c:pt>
                  <c:pt idx="1">
                    <c:v>8.1598469773893859E-2</c:v>
                  </c:pt>
                  <c:pt idx="2">
                    <c:v>2.5945479545360185E-2</c:v>
                  </c:pt>
                  <c:pt idx="3">
                    <c:v>0.11125202853381196</c:v>
                  </c:pt>
                  <c:pt idx="4">
                    <c:v>9.410953429956212E-2</c:v>
                  </c:pt>
                  <c:pt idx="5">
                    <c:v>3.1195215432667817E-2</c:v>
                  </c:pt>
                  <c:pt idx="6">
                    <c:v>0.15827882908260332</c:v>
                  </c:pt>
                </c:numCache>
              </c:numRef>
            </c:plus>
            <c:minus>
              <c:numRef>
                <c:f>[1]Standards!$F$31:$F$37</c:f>
                <c:numCache>
                  <c:formatCode>General</c:formatCode>
                  <c:ptCount val="7"/>
                  <c:pt idx="0">
                    <c:v>0.28745863933949173</c:v>
                  </c:pt>
                  <c:pt idx="1">
                    <c:v>8.1598469773893859E-2</c:v>
                  </c:pt>
                  <c:pt idx="2">
                    <c:v>2.5945479545360185E-2</c:v>
                  </c:pt>
                  <c:pt idx="3">
                    <c:v>0.11125202853381196</c:v>
                  </c:pt>
                  <c:pt idx="4">
                    <c:v>9.410953429956212E-2</c:v>
                  </c:pt>
                  <c:pt idx="5">
                    <c:v>3.1195215432667817E-2</c:v>
                  </c:pt>
                  <c:pt idx="6">
                    <c:v>0.15827882908260332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Standards!$C$3:$C$12</c:f>
              <c:numCache>
                <c:formatCode>0.00</c:formatCode>
                <c:ptCount val="10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</c:numCache>
            </c:numRef>
          </c:xVal>
          <c:yVal>
            <c:numRef>
              <c:f>Standards!$D$3:$D$12</c:f>
              <c:numCache>
                <c:formatCode>0.00</c:formatCode>
                <c:ptCount val="10"/>
                <c:pt idx="0">
                  <c:v>11.069972067736535</c:v>
                </c:pt>
                <c:pt idx="1">
                  <c:v>14.627901269000333</c:v>
                </c:pt>
                <c:pt idx="2">
                  <c:v>18.048519329131867</c:v>
                </c:pt>
                <c:pt idx="3">
                  <c:v>21.481714362350232</c:v>
                </c:pt>
                <c:pt idx="4">
                  <c:v>24.957277212446233</c:v>
                </c:pt>
                <c:pt idx="5">
                  <c:v>28.414178786214666</c:v>
                </c:pt>
                <c:pt idx="6">
                  <c:v>31.963766823923734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6-4871-9D16-FFF6AD371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616"/>
        <c:axId val="46458368"/>
      </c:scatterChart>
      <c:valAx>
        <c:axId val="464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Log(template</a:t>
                </a:r>
                <a:r>
                  <a:rPr lang="en-GB" baseline="0"/>
                  <a:t> concentration)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755206621709849"/>
              <c:y val="0.89655966081162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368"/>
        <c:crosses val="autoZero"/>
        <c:crossBetween val="midCat"/>
      </c:valAx>
      <c:valAx>
        <c:axId val="4645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Ct value</a:t>
                </a:r>
              </a:p>
            </c:rich>
          </c:tx>
          <c:layout>
            <c:manualLayout>
              <c:xMode val="edge"/>
              <c:yMode val="edge"/>
              <c:x val="1.1129660545353366E-2"/>
              <c:y val="0.375890369473046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24</xdr:col>
      <xdr:colOff>480060</xdr:colOff>
      <xdr:row>27</xdr:row>
      <xdr:rowOff>116205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8BAB4C3-FBE6-455D-A50D-79199ACA307B}"/>
            </a:ext>
          </a:extLst>
        </xdr:cNvPr>
        <xdr:cNvSpPr txBox="1"/>
      </xdr:nvSpPr>
      <xdr:spPr>
        <a:xfrm>
          <a:off x="9010650" y="533400"/>
          <a:ext cx="4747260" cy="495490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u="sng" baseline="0"/>
            <a:t>Plate layout nomenclature:</a:t>
          </a:r>
        </a:p>
        <a:p>
          <a:endParaRPr lang="en-GB" sz="1100" u="sng" baseline="0"/>
        </a:p>
        <a:p>
          <a:endParaRPr lang="en-GB" sz="1100" u="none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 u="sng"/>
            <a:t>First well</a:t>
          </a:r>
          <a:r>
            <a:rPr lang="en-GB" sz="1100" u="sng" baseline="0"/>
            <a:t> </a:t>
          </a:r>
          <a:r>
            <a:rPr lang="en-GB" sz="1100" u="sng"/>
            <a:t>row (blue):</a:t>
          </a:r>
          <a:r>
            <a:rPr lang="en-GB" sz="1100" u="sng" baseline="0"/>
            <a:t>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 must follow the nomenclature below: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[Sample name]_r[##]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i.e. BR001-Lysate_r01</a:t>
          </a:r>
          <a:endParaRPr lang="en-GB">
            <a:effectLst/>
          </a:endParaRPr>
        </a:p>
        <a:p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_r[##] indicates the replicate number of the same sample and can range from 01 to 99.</a:t>
          </a:r>
          <a:endParaRPr lang="en-GB">
            <a:effectLst/>
          </a:endParaRPr>
        </a:p>
        <a:p>
          <a:endParaRPr lang="en-GB" sz="1100" baseline="0"/>
        </a:p>
        <a:p>
          <a:r>
            <a:rPr lang="en-GB" sz="1100" u="sng" baseline="0"/>
            <a:t>Second well row (orange):</a:t>
          </a:r>
        </a:p>
        <a:p>
          <a:r>
            <a:rPr lang="en-GB" sz="1100" baseline="0"/>
            <a:t>Sample type can be Standard, Sample, NTC (Negative Control), IPC (In-Process Control) or Null</a:t>
          </a:r>
        </a:p>
        <a:p>
          <a:endParaRPr lang="en-GB" sz="1100" baseline="0"/>
        </a:p>
        <a:p>
          <a:r>
            <a:rPr lang="en-GB" sz="1100" u="sng" baseline="0"/>
            <a:t>Third well row (green):</a:t>
          </a:r>
        </a:p>
        <a:p>
          <a:r>
            <a:rPr lang="en-GB" sz="1100" baseline="0"/>
            <a:t>This field must be completed with:</a:t>
          </a:r>
        </a:p>
        <a:p>
          <a:r>
            <a:rPr lang="en-GB" sz="1100" baseline="0"/>
            <a:t> - Template concentration if sample type is Standard</a:t>
          </a:r>
        </a:p>
        <a:p>
          <a:r>
            <a:rPr lang="en-GB" sz="1100" baseline="0"/>
            <a:t> - Sample dilution </a:t>
          </a:r>
          <a:r>
            <a:rPr lang="en-GB" sz="1100" b="1" baseline="0"/>
            <a:t>after</a:t>
          </a:r>
          <a:r>
            <a:rPr lang="en-GB" sz="1100" baseline="0"/>
            <a:t> DNase/PK treatment if sample type is Sample or IPC</a:t>
          </a:r>
        </a:p>
        <a:p>
          <a:r>
            <a:rPr lang="en-GB" sz="1100" baseline="0"/>
            <a:t> - Left blank if sample type is NTC or Null </a:t>
          </a:r>
        </a:p>
        <a:p>
          <a:endParaRPr lang="en-GB" sz="1100" baseline="0"/>
        </a:p>
        <a:p>
          <a:endParaRPr lang="en-GB" sz="1100" baseline="0"/>
        </a:p>
        <a:p>
          <a:endParaRPr lang="en-GB" sz="1100"/>
        </a:p>
      </xdr:txBody>
    </xdr:sp>
    <xdr:clientData/>
  </xdr:twoCellAnchor>
  <xdr:twoCellAnchor>
    <xdr:from>
      <xdr:col>18</xdr:col>
      <xdr:colOff>350520</xdr:colOff>
      <xdr:row>4</xdr:row>
      <xdr:rowOff>116205</xdr:rowOff>
    </xdr:from>
    <xdr:to>
      <xdr:col>20</xdr:col>
      <xdr:colOff>342900</xdr:colOff>
      <xdr:row>6</xdr:row>
      <xdr:rowOff>40005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437FBD1-B800-4532-81D1-75BD2CFCD537}"/>
            </a:ext>
          </a:extLst>
        </xdr:cNvPr>
        <xdr:cNvSpPr/>
      </xdr:nvSpPr>
      <xdr:spPr>
        <a:xfrm>
          <a:off x="9970770" y="1030605"/>
          <a:ext cx="1211580" cy="3143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Sample name</a:t>
          </a:r>
        </a:p>
      </xdr:txBody>
    </xdr:sp>
    <xdr:clientData/>
  </xdr:twoCellAnchor>
  <xdr:twoCellAnchor>
    <xdr:from>
      <xdr:col>18</xdr:col>
      <xdr:colOff>350520</xdr:colOff>
      <xdr:row>6</xdr:row>
      <xdr:rowOff>62865</xdr:rowOff>
    </xdr:from>
    <xdr:to>
      <xdr:col>20</xdr:col>
      <xdr:colOff>342900</xdr:colOff>
      <xdr:row>7</xdr:row>
      <xdr:rowOff>177165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D11D9F4-BA66-41EC-81FC-ED82B5A5E8C7}"/>
            </a:ext>
          </a:extLst>
        </xdr:cNvPr>
        <xdr:cNvSpPr/>
      </xdr:nvSpPr>
      <xdr:spPr>
        <a:xfrm>
          <a:off x="9970770" y="1367790"/>
          <a:ext cx="1211580" cy="30480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Sample type</a:t>
          </a:r>
        </a:p>
      </xdr:txBody>
    </xdr:sp>
    <xdr:clientData/>
  </xdr:twoCellAnchor>
  <xdr:twoCellAnchor>
    <xdr:from>
      <xdr:col>18</xdr:col>
      <xdr:colOff>350520</xdr:colOff>
      <xdr:row>7</xdr:row>
      <xdr:rowOff>184785</xdr:rowOff>
    </xdr:from>
    <xdr:to>
      <xdr:col>20</xdr:col>
      <xdr:colOff>342900</xdr:colOff>
      <xdr:row>9</xdr:row>
      <xdr:rowOff>116205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3FB3836-5194-4133-AFF7-461F0ADC32EE}"/>
            </a:ext>
          </a:extLst>
        </xdr:cNvPr>
        <xdr:cNvSpPr/>
      </xdr:nvSpPr>
      <xdr:spPr>
        <a:xfrm>
          <a:off x="9970770" y="1680210"/>
          <a:ext cx="1211580" cy="321945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Conc.</a:t>
          </a:r>
          <a:r>
            <a:rPr lang="en-GB" sz="1100" baseline="0"/>
            <a:t> or dilution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610874</xdr:colOff>
      <xdr:row>0</xdr:row>
      <xdr:rowOff>175684</xdr:rowOff>
    </xdr:from>
    <xdr:to>
      <xdr:col>15</xdr:col>
      <xdr:colOff>183726</xdr:colOff>
      <xdr:row>17</xdr:row>
      <xdr:rowOff>29633</xdr:rowOff>
    </xdr:to>
    <xdr:graphicFrame macro="">
      <xdr:nvGraphicFramePr>
        <xdr:cNvPr id="2" name="Standard_curve">
          <a:extLst>
            <a:ext uri="{FF2B5EF4-FFF2-40B4-BE49-F238E27FC236}">
              <a16:creationId xmlns:a16="http://schemas.microsoft.com/office/drawing/2014/main" id="{D8ABE341-DF82-474D-8512-4DC79C444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</xdr:row>
          <xdr:rowOff>101600</xdr:rowOff>
        </xdr:from>
        <xdr:to>
          <xdr:col>7</xdr:col>
          <xdr:colOff>342900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6600"/>
                  </a:solidFill>
                  <a:latin typeface="Aptos Narrow"/>
                </a:rPr>
                <a:t>Standard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</xdr:row>
          <xdr:rowOff>59267</xdr:rowOff>
        </xdr:from>
        <xdr:to>
          <xdr:col>8</xdr:col>
          <xdr:colOff>474133</xdr:colOff>
          <xdr:row>5</xdr:row>
          <xdr:rowOff>21167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Sample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122767</xdr:colOff>
          <xdr:row>9</xdr:row>
          <xdr:rowOff>59267</xdr:rowOff>
        </xdr:from>
        <xdr:to>
          <xdr:col>8</xdr:col>
          <xdr:colOff>524933</xdr:colOff>
          <xdr:row>13</xdr:row>
          <xdr:rowOff>93133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 non excluded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186267</xdr:colOff>
          <xdr:row>5</xdr:row>
          <xdr:rowOff>88900</xdr:rowOff>
        </xdr:from>
        <xdr:to>
          <xdr:col>8</xdr:col>
          <xdr:colOff>448733</xdr:colOff>
          <xdr:row>8</xdr:row>
          <xdr:rowOff>131233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Exclude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a.valinhas\Documents\qpcr\UK-2024-08-06-qPCR-VG-AQP1-P1-BrKu.xlsm" TargetMode="External"/><Relationship Id="rId1" Type="http://schemas.openxmlformats.org/officeDocument/2006/relationships/externalLinkPath" Target="https://d.docs.live.net/Users/ana.valinhas/Documents/qpcr/UK-2024-08-06-qPCR-VG-AQP1-P1-BrK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Reagent_Preparation"/>
      <sheetName val="Assay_parameters"/>
      <sheetName val="Std_Preparation"/>
      <sheetName val="Mastermix_Preparation"/>
      <sheetName val="Plate_layout"/>
      <sheetName val="Sample Template"/>
      <sheetName val="Standards"/>
      <sheetName val="Samples"/>
      <sheetName val="Trend_sheet"/>
      <sheetName val="Lists"/>
    </sheetNames>
    <sheetDataSet>
      <sheetData sheetId="0"/>
      <sheetData sheetId="1"/>
      <sheetData sheetId="2">
        <row r="9">
          <cell r="C9">
            <v>10</v>
          </cell>
        </row>
        <row r="10">
          <cell r="C10">
            <v>10</v>
          </cell>
        </row>
      </sheetData>
      <sheetData sheetId="3"/>
      <sheetData sheetId="4"/>
      <sheetData sheetId="5"/>
      <sheetData sheetId="6"/>
      <sheetData sheetId="7">
        <row r="31">
          <cell r="D31">
            <v>9</v>
          </cell>
          <cell r="F31">
            <v>0.28745863933949173</v>
          </cell>
        </row>
        <row r="32">
          <cell r="F32">
            <v>8.1598469773893859E-2</v>
          </cell>
        </row>
        <row r="33">
          <cell r="F33">
            <v>2.5945479545360185E-2</v>
          </cell>
        </row>
        <row r="34">
          <cell r="F34">
            <v>0.11125202853381196</v>
          </cell>
        </row>
        <row r="35">
          <cell r="F35">
            <v>9.410953429956212E-2</v>
          </cell>
        </row>
        <row r="36">
          <cell r="F36">
            <v>3.1195215432667817E-2</v>
          </cell>
        </row>
        <row r="37">
          <cell r="F37">
            <v>0.15827882908260332</v>
          </cell>
        </row>
        <row r="42">
          <cell r="C42">
            <v>-3.4700963280823083</v>
          </cell>
        </row>
        <row r="43">
          <cell r="C43">
            <v>42.329625090037226</v>
          </cell>
        </row>
      </sheetData>
      <sheetData sheetId="8"/>
      <sheetData sheetId="9"/>
      <sheetData sheetId="10">
        <row r="1">
          <cell r="B1" t="str">
            <v>Sample type</v>
          </cell>
          <cell r="G1" t="str">
            <v>Exclude</v>
          </cell>
        </row>
        <row r="2">
          <cell r="B2" t="str">
            <v>Standard</v>
          </cell>
          <cell r="G2" t="str">
            <v>Yes</v>
          </cell>
        </row>
        <row r="3">
          <cell r="B3" t="str">
            <v>Sample</v>
          </cell>
          <cell r="G3" t="str">
            <v>No</v>
          </cell>
        </row>
        <row r="4">
          <cell r="B4" t="str">
            <v>NTC</v>
          </cell>
        </row>
        <row r="5">
          <cell r="B5" t="str">
            <v>IPC</v>
          </cell>
        </row>
        <row r="6">
          <cell r="B6" t="str">
            <v>Null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81DE46-99D9-44E5-957B-BFE621012FFF}" name="Standards" displayName="Standards" ref="A2:E9" totalsRowShown="0" headerRowDxfId="10" dataDxfId="8" headerRowBorderDxfId="9" tableBorderDxfId="7" totalsRowBorderDxfId="6">
  <autoFilter ref="A2:E9" xr:uid="{2F81DE46-99D9-44E5-957B-BFE621012FFF}"/>
  <tableColumns count="5">
    <tableColumn id="1" xr3:uid="{5444F3DC-FA1C-4A80-9157-4FB4182A28C0}" name="Sample Name" dataDxfId="5"/>
    <tableColumn id="2" xr3:uid="{3F932B0B-A093-4F94-8A09-1EE5D1C2BC17}" name="Template Conc. (copies/rxn)" dataDxfId="4"/>
    <tableColumn id="3" xr3:uid="{319A24E7-D132-4F17-BB34-4BD0D131D887}" name="Log template Conc." dataDxfId="3"/>
    <tableColumn id="4" xr3:uid="{29264A32-36F4-4C74-A24F-3AF4C706E829}" name="CT" dataDxfId="2"/>
    <tableColumn id="5" xr3:uid="{C15C8CAE-FF6F-4538-8C48-A39EB5D26A8F}" name="Ct S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5707-E198-4EA0-ABA2-D47B43945B96}">
  <sheetPr codeName="Sheet1"/>
  <dimension ref="A1:P26"/>
  <sheetViews>
    <sheetView topLeftCell="C1" zoomScale="90" zoomScaleNormal="90" workbookViewId="0">
      <selection activeCell="J21" sqref="J21"/>
    </sheetView>
  </sheetViews>
  <sheetFormatPr defaultRowHeight="14.35" x14ac:dyDescent="0.5"/>
  <cols>
    <col min="1" max="1" width="11.87890625" bestFit="1" customWidth="1"/>
    <col min="2" max="2" width="30.29296875" bestFit="1" customWidth="1"/>
    <col min="4" max="4" width="2.41015625" bestFit="1" customWidth="1"/>
    <col min="5" max="5" width="13.87890625" bestFit="1" customWidth="1"/>
    <col min="6" max="6" width="12.5859375" bestFit="1" customWidth="1"/>
    <col min="7" max="7" width="8.703125" bestFit="1" customWidth="1"/>
    <col min="8" max="9" width="10.87890625" bestFit="1" customWidth="1"/>
    <col min="10" max="10" width="25.1171875" customWidth="1"/>
    <col min="11" max="13" width="10.87890625" bestFit="1" customWidth="1"/>
    <col min="14" max="16" width="3" bestFit="1" customWidth="1"/>
  </cols>
  <sheetData>
    <row r="1" spans="1:16" ht="25.7" x14ac:dyDescent="0.85">
      <c r="D1" s="1"/>
      <c r="E1" s="1"/>
      <c r="F1" s="1"/>
      <c r="G1" s="1"/>
      <c r="H1" s="1"/>
      <c r="I1" s="1"/>
      <c r="J1" s="2" t="s">
        <v>2</v>
      </c>
      <c r="K1" s="1"/>
      <c r="L1" s="1"/>
      <c r="M1" s="1"/>
      <c r="N1" s="1"/>
      <c r="O1" s="1"/>
      <c r="P1" s="1"/>
    </row>
    <row r="2" spans="1:16" ht="14.7" thickBot="1" x14ac:dyDescent="0.55000000000000004">
      <c r="A2" t="s">
        <v>79</v>
      </c>
      <c r="B2" t="s">
        <v>80</v>
      </c>
      <c r="D2" s="1"/>
      <c r="E2" s="12">
        <v>1</v>
      </c>
      <c r="F2" s="12">
        <v>2</v>
      </c>
      <c r="G2" s="12">
        <v>3</v>
      </c>
      <c r="H2" s="12">
        <v>4</v>
      </c>
      <c r="I2" s="12">
        <v>5</v>
      </c>
      <c r="J2" s="12">
        <v>6</v>
      </c>
      <c r="K2" s="12">
        <v>7</v>
      </c>
      <c r="L2" s="12">
        <v>8</v>
      </c>
      <c r="M2" s="12">
        <v>9</v>
      </c>
      <c r="N2" s="12">
        <v>10</v>
      </c>
      <c r="O2" s="12">
        <v>11</v>
      </c>
      <c r="P2" s="12">
        <v>12</v>
      </c>
    </row>
    <row r="3" spans="1:16" x14ac:dyDescent="0.5">
      <c r="A3" t="s">
        <v>81</v>
      </c>
      <c r="B3" s="33">
        <v>45416</v>
      </c>
      <c r="D3" s="45" t="s">
        <v>3</v>
      </c>
      <c r="E3" s="13" t="s">
        <v>4</v>
      </c>
      <c r="F3" s="13" t="s">
        <v>5</v>
      </c>
      <c r="G3" s="13" t="s">
        <v>6</v>
      </c>
      <c r="H3" s="14" t="s">
        <v>34</v>
      </c>
      <c r="I3" s="14" t="s">
        <v>35</v>
      </c>
      <c r="J3" s="14" t="s">
        <v>36</v>
      </c>
      <c r="K3" s="14" t="s">
        <v>37</v>
      </c>
      <c r="L3" s="14" t="s">
        <v>38</v>
      </c>
      <c r="M3" s="14" t="s">
        <v>39</v>
      </c>
      <c r="N3" s="15"/>
      <c r="O3" s="15"/>
      <c r="P3" s="15"/>
    </row>
    <row r="4" spans="1:16" x14ac:dyDescent="0.5">
      <c r="D4" s="45"/>
      <c r="E4" s="16" t="s">
        <v>7</v>
      </c>
      <c r="F4" s="16" t="s">
        <v>7</v>
      </c>
      <c r="G4" s="16" t="s">
        <v>7</v>
      </c>
      <c r="H4" s="17" t="s">
        <v>8</v>
      </c>
      <c r="I4" s="17" t="s">
        <v>8</v>
      </c>
      <c r="J4" s="17" t="s">
        <v>8</v>
      </c>
      <c r="K4" s="17" t="s">
        <v>8</v>
      </c>
      <c r="L4" s="17" t="s">
        <v>8</v>
      </c>
      <c r="M4" s="17" t="s">
        <v>8</v>
      </c>
      <c r="N4" s="18"/>
      <c r="O4" s="18"/>
      <c r="P4" s="18"/>
    </row>
    <row r="5" spans="1:16" ht="14.7" thickBot="1" x14ac:dyDescent="0.55000000000000004">
      <c r="D5" s="45"/>
      <c r="E5" s="19">
        <v>1000000000</v>
      </c>
      <c r="F5" s="19">
        <v>1000000000</v>
      </c>
      <c r="G5" s="19">
        <v>1000000000</v>
      </c>
      <c r="H5" s="20">
        <v>10</v>
      </c>
      <c r="I5" s="20">
        <v>10</v>
      </c>
      <c r="J5" s="20">
        <v>10</v>
      </c>
      <c r="K5" s="20">
        <v>10</v>
      </c>
      <c r="L5" s="20">
        <v>10</v>
      </c>
      <c r="M5" s="20">
        <v>10</v>
      </c>
      <c r="N5" s="21"/>
      <c r="O5" s="21"/>
      <c r="P5" s="21"/>
    </row>
    <row r="6" spans="1:16" x14ac:dyDescent="0.5">
      <c r="D6" s="45" t="s">
        <v>9</v>
      </c>
      <c r="E6" s="13" t="s">
        <v>10</v>
      </c>
      <c r="F6" s="13" t="s">
        <v>11</v>
      </c>
      <c r="G6" s="13" t="s">
        <v>12</v>
      </c>
      <c r="H6" s="14" t="s">
        <v>34</v>
      </c>
      <c r="I6" s="14" t="s">
        <v>35</v>
      </c>
      <c r="J6" s="14" t="s">
        <v>36</v>
      </c>
      <c r="K6" s="14" t="s">
        <v>37</v>
      </c>
      <c r="L6" s="14" t="s">
        <v>38</v>
      </c>
      <c r="M6" s="14" t="s">
        <v>39</v>
      </c>
      <c r="N6" s="15"/>
      <c r="O6" s="15"/>
      <c r="P6" s="15"/>
    </row>
    <row r="7" spans="1:16" x14ac:dyDescent="0.5">
      <c r="D7" s="45"/>
      <c r="E7" s="16" t="s">
        <v>7</v>
      </c>
      <c r="F7" s="16" t="s">
        <v>7</v>
      </c>
      <c r="G7" s="16" t="s">
        <v>7</v>
      </c>
      <c r="H7" s="17" t="s">
        <v>8</v>
      </c>
      <c r="I7" s="17" t="s">
        <v>8</v>
      </c>
      <c r="J7" s="17" t="s">
        <v>8</v>
      </c>
      <c r="K7" s="17" t="s">
        <v>8</v>
      </c>
      <c r="L7" s="17" t="s">
        <v>8</v>
      </c>
      <c r="M7" s="17" t="s">
        <v>8</v>
      </c>
      <c r="N7" s="18"/>
      <c r="O7" s="18"/>
      <c r="P7" s="18"/>
    </row>
    <row r="8" spans="1:16" ht="14.7" thickBot="1" x14ac:dyDescent="0.55000000000000004">
      <c r="D8" s="45"/>
      <c r="E8" s="19">
        <v>100000000</v>
      </c>
      <c r="F8" s="19">
        <v>100000000</v>
      </c>
      <c r="G8" s="19">
        <v>100000000</v>
      </c>
      <c r="H8" s="20">
        <v>100</v>
      </c>
      <c r="I8" s="20">
        <v>100</v>
      </c>
      <c r="J8" s="20">
        <v>100</v>
      </c>
      <c r="K8" s="20">
        <v>100</v>
      </c>
      <c r="L8" s="20">
        <v>100</v>
      </c>
      <c r="M8" s="20">
        <v>100</v>
      </c>
      <c r="N8" s="21"/>
      <c r="O8" s="21"/>
      <c r="P8" s="21"/>
    </row>
    <row r="9" spans="1:16" x14ac:dyDescent="0.5">
      <c r="D9" s="45" t="s">
        <v>13</v>
      </c>
      <c r="E9" s="13" t="s">
        <v>14</v>
      </c>
      <c r="F9" s="13" t="s">
        <v>15</v>
      </c>
      <c r="G9" s="13" t="s">
        <v>16</v>
      </c>
      <c r="H9" s="14" t="s">
        <v>34</v>
      </c>
      <c r="I9" s="14" t="s">
        <v>35</v>
      </c>
      <c r="J9" s="14" t="s">
        <v>36</v>
      </c>
      <c r="K9" s="14" t="s">
        <v>37</v>
      </c>
      <c r="L9" s="14" t="s">
        <v>38</v>
      </c>
      <c r="M9" s="14" t="s">
        <v>39</v>
      </c>
      <c r="N9" s="15"/>
      <c r="O9" s="15"/>
      <c r="P9" s="15"/>
    </row>
    <row r="10" spans="1:16" x14ac:dyDescent="0.5">
      <c r="D10" s="45"/>
      <c r="E10" s="16" t="s">
        <v>7</v>
      </c>
      <c r="F10" s="16" t="s">
        <v>7</v>
      </c>
      <c r="G10" s="16" t="s">
        <v>7</v>
      </c>
      <c r="H10" s="17" t="s">
        <v>8</v>
      </c>
      <c r="I10" s="17" t="s">
        <v>8</v>
      </c>
      <c r="J10" s="17" t="s">
        <v>8</v>
      </c>
      <c r="K10" s="17" t="s">
        <v>8</v>
      </c>
      <c r="L10" s="17" t="s">
        <v>8</v>
      </c>
      <c r="M10" s="17" t="s">
        <v>8</v>
      </c>
      <c r="N10" s="18"/>
      <c r="O10" s="18"/>
      <c r="P10" s="18"/>
    </row>
    <row r="11" spans="1:16" ht="14.7" thickBot="1" x14ac:dyDescent="0.55000000000000004">
      <c r="D11" s="45"/>
      <c r="E11" s="19">
        <v>10000000</v>
      </c>
      <c r="F11" s="19">
        <v>10000000</v>
      </c>
      <c r="G11" s="19">
        <v>10000000</v>
      </c>
      <c r="H11" s="20">
        <v>1000</v>
      </c>
      <c r="I11" s="20">
        <v>1000</v>
      </c>
      <c r="J11" s="20">
        <v>1000</v>
      </c>
      <c r="K11" s="20">
        <v>1000</v>
      </c>
      <c r="L11" s="20">
        <v>1000</v>
      </c>
      <c r="M11" s="20">
        <v>1000</v>
      </c>
      <c r="N11" s="21"/>
      <c r="O11" s="21"/>
      <c r="P11" s="21"/>
    </row>
    <row r="12" spans="1:16" x14ac:dyDescent="0.5">
      <c r="D12" s="45" t="s">
        <v>17</v>
      </c>
      <c r="E12" s="13" t="s">
        <v>18</v>
      </c>
      <c r="F12" s="13" t="s">
        <v>19</v>
      </c>
      <c r="G12" s="13" t="s">
        <v>20</v>
      </c>
      <c r="H12" s="14" t="s">
        <v>34</v>
      </c>
      <c r="I12" s="14" t="s">
        <v>35</v>
      </c>
      <c r="J12" s="14" t="s">
        <v>36</v>
      </c>
      <c r="K12" s="14" t="s">
        <v>37</v>
      </c>
      <c r="L12" s="14" t="s">
        <v>38</v>
      </c>
      <c r="M12" s="14" t="s">
        <v>39</v>
      </c>
      <c r="N12" s="15"/>
      <c r="O12" s="15"/>
      <c r="P12" s="15"/>
    </row>
    <row r="13" spans="1:16" x14ac:dyDescent="0.5">
      <c r="D13" s="45"/>
      <c r="E13" s="16" t="s">
        <v>7</v>
      </c>
      <c r="F13" s="16" t="s">
        <v>7</v>
      </c>
      <c r="G13" s="16" t="s">
        <v>7</v>
      </c>
      <c r="H13" s="17" t="s">
        <v>8</v>
      </c>
      <c r="I13" s="17" t="s">
        <v>8</v>
      </c>
      <c r="J13" s="17" t="s">
        <v>8</v>
      </c>
      <c r="K13" s="17" t="s">
        <v>8</v>
      </c>
      <c r="L13" s="17" t="s">
        <v>8</v>
      </c>
      <c r="M13" s="17" t="s">
        <v>8</v>
      </c>
      <c r="N13" s="18"/>
      <c r="O13" s="18"/>
      <c r="P13" s="18"/>
    </row>
    <row r="14" spans="1:16" ht="14.7" thickBot="1" x14ac:dyDescent="0.55000000000000004">
      <c r="D14" s="45"/>
      <c r="E14" s="19">
        <v>1000000</v>
      </c>
      <c r="F14" s="19">
        <v>1000000</v>
      </c>
      <c r="G14" s="19">
        <v>1000000</v>
      </c>
      <c r="H14" s="20">
        <v>10000</v>
      </c>
      <c r="I14" s="20">
        <v>10000</v>
      </c>
      <c r="J14" s="20">
        <v>10000</v>
      </c>
      <c r="K14" s="20">
        <v>10000</v>
      </c>
      <c r="L14" s="20">
        <v>10000</v>
      </c>
      <c r="M14" s="20">
        <v>10000</v>
      </c>
      <c r="N14" s="21"/>
      <c r="O14" s="21"/>
      <c r="P14" s="21"/>
    </row>
    <row r="15" spans="1:16" x14ac:dyDescent="0.5">
      <c r="D15" s="45" t="s">
        <v>21</v>
      </c>
      <c r="E15" s="13" t="s">
        <v>22</v>
      </c>
      <c r="F15" s="13" t="s">
        <v>23</v>
      </c>
      <c r="G15" s="13" t="s">
        <v>24</v>
      </c>
      <c r="H15" s="14" t="s">
        <v>40</v>
      </c>
      <c r="I15" s="14" t="s">
        <v>41</v>
      </c>
      <c r="J15" s="14" t="s">
        <v>42</v>
      </c>
      <c r="K15" s="15"/>
      <c r="L15" s="15"/>
      <c r="M15" s="15"/>
      <c r="N15" s="15"/>
      <c r="O15" s="15"/>
      <c r="P15" s="15"/>
    </row>
    <row r="16" spans="1:16" x14ac:dyDescent="0.5">
      <c r="D16" s="45"/>
      <c r="E16" s="16" t="s">
        <v>7</v>
      </c>
      <c r="F16" s="16" t="s">
        <v>7</v>
      </c>
      <c r="G16" s="16" t="s">
        <v>7</v>
      </c>
      <c r="H16" s="17" t="s">
        <v>8</v>
      </c>
      <c r="I16" s="17" t="s">
        <v>8</v>
      </c>
      <c r="J16" s="17" t="s">
        <v>8</v>
      </c>
      <c r="K16" s="18"/>
      <c r="L16" s="18"/>
      <c r="M16" s="18"/>
      <c r="N16" s="18"/>
      <c r="O16" s="18"/>
      <c r="P16" s="18"/>
    </row>
    <row r="17" spans="4:16" ht="14.7" thickBot="1" x14ac:dyDescent="0.55000000000000004">
      <c r="D17" s="45"/>
      <c r="E17" s="19">
        <v>100000</v>
      </c>
      <c r="F17" s="19">
        <v>100000</v>
      </c>
      <c r="G17" s="19">
        <v>100000</v>
      </c>
      <c r="H17" s="20">
        <v>10</v>
      </c>
      <c r="I17" s="20">
        <v>10</v>
      </c>
      <c r="J17" s="20">
        <v>10</v>
      </c>
      <c r="K17" s="21"/>
      <c r="L17" s="21"/>
      <c r="M17" s="21"/>
      <c r="N17" s="21"/>
      <c r="O17" s="21"/>
      <c r="P17" s="21"/>
    </row>
    <row r="18" spans="4:16" x14ac:dyDescent="0.5">
      <c r="D18" s="45" t="s">
        <v>25</v>
      </c>
      <c r="E18" s="13" t="s">
        <v>26</v>
      </c>
      <c r="F18" s="13" t="s">
        <v>27</v>
      </c>
      <c r="G18" s="13" t="s">
        <v>28</v>
      </c>
      <c r="H18" s="14" t="s">
        <v>40</v>
      </c>
      <c r="I18" s="14" t="s">
        <v>41</v>
      </c>
      <c r="J18" s="14" t="s">
        <v>42</v>
      </c>
      <c r="K18" s="15"/>
      <c r="L18" s="15"/>
      <c r="M18" s="15"/>
      <c r="N18" s="15"/>
      <c r="O18" s="15"/>
      <c r="P18" s="15"/>
    </row>
    <row r="19" spans="4:16" x14ac:dyDescent="0.5">
      <c r="D19" s="45"/>
      <c r="E19" s="16" t="s">
        <v>7</v>
      </c>
      <c r="F19" s="16" t="s">
        <v>7</v>
      </c>
      <c r="G19" s="16" t="s">
        <v>7</v>
      </c>
      <c r="H19" s="17" t="s">
        <v>8</v>
      </c>
      <c r="I19" s="17" t="s">
        <v>8</v>
      </c>
      <c r="J19" s="17" t="s">
        <v>8</v>
      </c>
      <c r="K19" s="18"/>
      <c r="L19" s="18"/>
      <c r="M19" s="18"/>
      <c r="N19" s="18"/>
      <c r="O19" s="18"/>
      <c r="P19" s="18"/>
    </row>
    <row r="20" spans="4:16" ht="14.7" thickBot="1" x14ac:dyDescent="0.55000000000000004">
      <c r="D20" s="45"/>
      <c r="E20" s="19">
        <v>10000</v>
      </c>
      <c r="F20" s="19">
        <v>10000</v>
      </c>
      <c r="G20" s="19">
        <v>10000</v>
      </c>
      <c r="H20" s="20">
        <v>100</v>
      </c>
      <c r="I20" s="20">
        <v>100</v>
      </c>
      <c r="J20" s="20">
        <v>100</v>
      </c>
      <c r="K20" s="21"/>
      <c r="L20" s="21"/>
      <c r="M20" s="21"/>
      <c r="N20" s="21"/>
      <c r="O20" s="21"/>
      <c r="P20" s="21"/>
    </row>
    <row r="21" spans="4:16" x14ac:dyDescent="0.5">
      <c r="D21" s="45" t="s">
        <v>29</v>
      </c>
      <c r="E21" s="13" t="s">
        <v>30</v>
      </c>
      <c r="F21" s="13" t="s">
        <v>31</v>
      </c>
      <c r="G21" s="13" t="s">
        <v>32</v>
      </c>
      <c r="H21" s="14" t="s">
        <v>40</v>
      </c>
      <c r="I21" s="14" t="s">
        <v>41</v>
      </c>
      <c r="J21" s="14" t="s">
        <v>42</v>
      </c>
      <c r="K21" s="15"/>
      <c r="L21" s="15"/>
      <c r="M21" s="15"/>
      <c r="N21" s="15"/>
      <c r="O21" s="15"/>
      <c r="P21" s="15"/>
    </row>
    <row r="22" spans="4:16" x14ac:dyDescent="0.5">
      <c r="D22" s="45"/>
      <c r="E22" s="16" t="s">
        <v>7</v>
      </c>
      <c r="F22" s="16" t="s">
        <v>7</v>
      </c>
      <c r="G22" s="16" t="s">
        <v>7</v>
      </c>
      <c r="H22" s="17" t="s">
        <v>8</v>
      </c>
      <c r="I22" s="17" t="s">
        <v>8</v>
      </c>
      <c r="J22" s="17" t="s">
        <v>8</v>
      </c>
      <c r="K22" s="18"/>
      <c r="L22" s="18"/>
      <c r="M22" s="18"/>
      <c r="N22" s="18"/>
      <c r="O22" s="18"/>
      <c r="P22" s="18"/>
    </row>
    <row r="23" spans="4:16" ht="14.7" thickBot="1" x14ac:dyDescent="0.55000000000000004">
      <c r="D23" s="45"/>
      <c r="E23" s="19">
        <v>1000</v>
      </c>
      <c r="F23" s="19">
        <v>1000</v>
      </c>
      <c r="G23" s="19">
        <v>1000</v>
      </c>
      <c r="H23" s="20">
        <v>1000</v>
      </c>
      <c r="I23" s="20">
        <v>1000</v>
      </c>
      <c r="J23" s="20">
        <v>1000</v>
      </c>
      <c r="K23" s="21"/>
      <c r="L23" s="21"/>
      <c r="M23" s="21"/>
      <c r="N23" s="21"/>
      <c r="O23" s="21"/>
      <c r="P23" s="21"/>
    </row>
    <row r="24" spans="4:16" x14ac:dyDescent="0.5">
      <c r="D24" s="45" t="s">
        <v>33</v>
      </c>
      <c r="E24" s="15"/>
      <c r="F24" s="15"/>
      <c r="G24" s="15"/>
      <c r="H24" s="14" t="s">
        <v>40</v>
      </c>
      <c r="I24" s="14" t="s">
        <v>41</v>
      </c>
      <c r="J24" s="14" t="s">
        <v>42</v>
      </c>
      <c r="K24" s="15"/>
      <c r="L24" s="15"/>
      <c r="M24" s="15"/>
      <c r="N24" s="15"/>
      <c r="O24" s="15"/>
      <c r="P24" s="15"/>
    </row>
    <row r="25" spans="4:16" x14ac:dyDescent="0.5">
      <c r="D25" s="45"/>
      <c r="E25" s="18"/>
      <c r="F25" s="18"/>
      <c r="G25" s="18"/>
      <c r="H25" s="17" t="s">
        <v>8</v>
      </c>
      <c r="I25" s="17" t="s">
        <v>8</v>
      </c>
      <c r="J25" s="17" t="s">
        <v>8</v>
      </c>
      <c r="K25" s="18"/>
      <c r="L25" s="18"/>
      <c r="M25" s="18"/>
      <c r="N25" s="18"/>
      <c r="O25" s="18"/>
      <c r="P25" s="18"/>
    </row>
    <row r="26" spans="4:16" ht="14.7" thickBot="1" x14ac:dyDescent="0.55000000000000004">
      <c r="D26" s="45"/>
      <c r="E26" s="21"/>
      <c r="F26" s="21"/>
      <c r="G26" s="21"/>
      <c r="H26" s="20">
        <v>10000</v>
      </c>
      <c r="I26" s="20">
        <v>10000</v>
      </c>
      <c r="J26" s="20">
        <v>10000</v>
      </c>
      <c r="K26" s="21"/>
      <c r="L26" s="21"/>
      <c r="M26" s="21"/>
      <c r="N26" s="21"/>
      <c r="O26" s="21"/>
      <c r="P26" s="21"/>
    </row>
  </sheetData>
  <mergeCells count="8">
    <mergeCell ref="D21:D23"/>
    <mergeCell ref="D24:D26"/>
    <mergeCell ref="D3:D5"/>
    <mergeCell ref="D6:D8"/>
    <mergeCell ref="D9:D11"/>
    <mergeCell ref="D12:D14"/>
    <mergeCell ref="D15:D17"/>
    <mergeCell ref="D18:D20"/>
  </mergeCells>
  <dataValidations count="1">
    <dataValidation type="list" allowBlank="1" showInputMessage="1" showErrorMessage="1" sqref="E7:P7 E13:P13 E4:P4 E10:P10 E19:P19 E22:P22 E16:P16 E25:P25" xr:uid="{9F7D587C-CAAB-4AC3-8247-4FB17E4F4B7B}">
      <formula1>Sample_type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6E63E-38E3-4A66-9EBE-D93E544F67D9}">
  <sheetPr codeName="Sheet2"/>
  <dimension ref="A1:R21"/>
  <sheetViews>
    <sheetView tabSelected="1" workbookViewId="0">
      <selection activeCell="F11" sqref="F11"/>
    </sheetView>
  </sheetViews>
  <sheetFormatPr defaultRowHeight="14.35" x14ac:dyDescent="0.5"/>
  <cols>
    <col min="1" max="1" width="11.703125" customWidth="1"/>
    <col min="2" max="2" width="21.05859375" customWidth="1"/>
    <col min="3" max="3" width="15.1171875" customWidth="1"/>
  </cols>
  <sheetData>
    <row r="1" spans="1:6" x14ac:dyDescent="0.5">
      <c r="A1" s="46" t="s">
        <v>44</v>
      </c>
      <c r="B1" s="46"/>
      <c r="C1" s="46"/>
      <c r="D1" s="46"/>
      <c r="E1" s="46"/>
    </row>
    <row r="2" spans="1:6" x14ac:dyDescent="0.5">
      <c r="A2" s="37" t="s">
        <v>85</v>
      </c>
      <c r="B2" s="38" t="s">
        <v>45</v>
      </c>
      <c r="C2" s="38" t="s">
        <v>46</v>
      </c>
      <c r="D2" s="38" t="s">
        <v>86</v>
      </c>
      <c r="E2" s="39" t="s">
        <v>47</v>
      </c>
      <c r="F2" s="34"/>
    </row>
    <row r="3" spans="1:6" x14ac:dyDescent="0.5">
      <c r="A3" s="35" t="s">
        <v>48</v>
      </c>
      <c r="B3" s="23">
        <v>1000000000</v>
      </c>
      <c r="C3" s="25">
        <v>9</v>
      </c>
      <c r="D3" s="25">
        <v>11.069972067736535</v>
      </c>
      <c r="E3" s="36">
        <v>0.28745863933949212</v>
      </c>
    </row>
    <row r="4" spans="1:6" x14ac:dyDescent="0.5">
      <c r="A4" s="35" t="s">
        <v>49</v>
      </c>
      <c r="B4" s="23">
        <v>100000000</v>
      </c>
      <c r="C4" s="25">
        <v>8</v>
      </c>
      <c r="D4" s="25">
        <v>14.627901269000333</v>
      </c>
      <c r="E4" s="36">
        <v>8.1598469773894677E-2</v>
      </c>
    </row>
    <row r="5" spans="1:6" x14ac:dyDescent="0.5">
      <c r="A5" s="35" t="s">
        <v>50</v>
      </c>
      <c r="B5" s="23">
        <v>10000000</v>
      </c>
      <c r="C5" s="25">
        <v>7</v>
      </c>
      <c r="D5" s="25">
        <v>18.048519329131867</v>
      </c>
      <c r="E5" s="36">
        <v>2.5945479545360698E-2</v>
      </c>
    </row>
    <row r="6" spans="1:6" x14ac:dyDescent="0.5">
      <c r="A6" s="35" t="s">
        <v>51</v>
      </c>
      <c r="B6" s="23">
        <v>1000000</v>
      </c>
      <c r="C6" s="25">
        <v>6</v>
      </c>
      <c r="D6" s="25">
        <v>21.481714362350232</v>
      </c>
      <c r="E6" s="36">
        <v>0.11125202853381219</v>
      </c>
    </row>
    <row r="7" spans="1:6" x14ac:dyDescent="0.5">
      <c r="A7" s="35" t="s">
        <v>52</v>
      </c>
      <c r="B7" s="23">
        <v>100000</v>
      </c>
      <c r="C7" s="25">
        <v>5</v>
      </c>
      <c r="D7" s="25">
        <v>24.957277212446233</v>
      </c>
      <c r="E7" s="36">
        <v>9.4109534299563785E-2</v>
      </c>
    </row>
    <row r="8" spans="1:6" x14ac:dyDescent="0.5">
      <c r="A8" s="35" t="s">
        <v>53</v>
      </c>
      <c r="B8" s="23">
        <v>10000</v>
      </c>
      <c r="C8" s="25">
        <v>4</v>
      </c>
      <c r="D8" s="25">
        <v>28.414178786214666</v>
      </c>
      <c r="E8" s="36">
        <v>3.1195215432667674E-2</v>
      </c>
    </row>
    <row r="9" spans="1:6" x14ac:dyDescent="0.5">
      <c r="A9" s="40" t="s">
        <v>54</v>
      </c>
      <c r="B9" s="41">
        <v>1000</v>
      </c>
      <c r="C9" s="42">
        <v>3</v>
      </c>
      <c r="D9" s="42">
        <v>31.963766823923734</v>
      </c>
      <c r="E9" s="43">
        <v>0.15827882908260332</v>
      </c>
    </row>
    <row r="10" spans="1:6" x14ac:dyDescent="0.5">
      <c r="A10" s="40"/>
      <c r="B10" s="41"/>
      <c r="C10" s="42"/>
      <c r="D10" s="42"/>
      <c r="E10" s="43"/>
    </row>
    <row r="11" spans="1:6" x14ac:dyDescent="0.5">
      <c r="E11" s="1"/>
    </row>
    <row r="12" spans="1:6" x14ac:dyDescent="0.5">
      <c r="E12" s="1"/>
    </row>
    <row r="13" spans="1:6" x14ac:dyDescent="0.5">
      <c r="E13" s="1"/>
    </row>
    <row r="14" spans="1:6" x14ac:dyDescent="0.5">
      <c r="E14" s="1"/>
    </row>
    <row r="15" spans="1:6" x14ac:dyDescent="0.5">
      <c r="E15" s="1"/>
    </row>
    <row r="17" spans="1:18" x14ac:dyDescent="0.5">
      <c r="A17" s="24" t="s">
        <v>55</v>
      </c>
      <c r="B17" s="24" t="s">
        <v>56</v>
      </c>
      <c r="C17" s="26" t="s">
        <v>57</v>
      </c>
      <c r="D17" s="26" t="s">
        <v>58</v>
      </c>
    </row>
    <row r="18" spans="1:18" x14ac:dyDescent="0.5">
      <c r="A18" s="27" t="s">
        <v>59</v>
      </c>
      <c r="B18" s="28">
        <f>IF(B19="","",10^(-1/B19)-1)</f>
        <v>0.94167454973826681</v>
      </c>
      <c r="C18" s="29" t="s">
        <v>83</v>
      </c>
      <c r="D18" s="30" t="str">
        <f>IF(std_efficiency="","",IF(AND(B18&gt;=0.9,B18&lt;=1),"PASS","FAIL"))</f>
        <v>PASS</v>
      </c>
      <c r="R18" t="s">
        <v>84</v>
      </c>
    </row>
    <row r="19" spans="1:18" x14ac:dyDescent="0.5">
      <c r="A19" s="27" t="s">
        <v>60</v>
      </c>
      <c r="B19" s="31">
        <f>IFERROR(SLOPE(Standards[CT], Standards[Log template Conc.]), "")</f>
        <v>-3.4700963280823083</v>
      </c>
      <c r="C19" s="22" t="e">
        <f>NA()</f>
        <v>#N/A</v>
      </c>
      <c r="D19" s="30" t="e">
        <f>NA()</f>
        <v>#N/A</v>
      </c>
    </row>
    <row r="20" spans="1:18" x14ac:dyDescent="0.5">
      <c r="A20" s="27" t="s">
        <v>61</v>
      </c>
      <c r="B20" s="44">
        <f>IFERROR(INTERCEPT(Standards[CT], Standards[Log template Conc.]), "")</f>
        <v>42.329625090037226</v>
      </c>
      <c r="C20" s="29" t="e">
        <f>NA()</f>
        <v>#N/A</v>
      </c>
      <c r="D20" s="30" t="e">
        <f>NA()</f>
        <v>#N/A</v>
      </c>
    </row>
    <row r="21" spans="1:18" x14ac:dyDescent="0.5">
      <c r="A21" s="27" t="s">
        <v>62</v>
      </c>
      <c r="B21" s="44">
        <f>IFERROR(RSQ(Standards[CT], Standards[Log template Conc.]), "")</f>
        <v>0.99997379594442348</v>
      </c>
      <c r="C21" s="32" t="s">
        <v>63</v>
      </c>
      <c r="D21" s="30" t="str">
        <f>IF(B21 &gt;= 0.95, "PASS", "FAIL")</f>
        <v>PASS</v>
      </c>
    </row>
  </sheetData>
  <mergeCells count="1">
    <mergeCell ref="A1:E1"/>
  </mergeCells>
  <conditionalFormatting sqref="D18:D21">
    <cfRule type="expression" dxfId="12" priority="1">
      <formula>D18="PASS"</formula>
    </cfRule>
    <cfRule type="expression" dxfId="11" priority="2">
      <formula>D18="FAIL"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ndard_analysis">
                <anchor moveWithCells="1" sizeWithCells="1">
                  <from>
                    <xdr:col>5</xdr:col>
                    <xdr:colOff>88900</xdr:colOff>
                    <xdr:row>3</xdr:row>
                    <xdr:rowOff>101600</xdr:rowOff>
                  </from>
                  <to>
                    <xdr:col>7</xdr:col>
                    <xdr:colOff>342900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7FA7-55BC-47A6-A6B9-58BB86459EA4}">
  <sheetPr codeName="Sheet3"/>
  <dimension ref="A3:Q41"/>
  <sheetViews>
    <sheetView zoomScale="80" zoomScaleNormal="80" workbookViewId="0">
      <selection activeCell="I22" sqref="I22"/>
    </sheetView>
  </sheetViews>
  <sheetFormatPr defaultRowHeight="14.35" x14ac:dyDescent="0.5"/>
  <cols>
    <col min="1" max="1" width="21.1171875" bestFit="1" customWidth="1"/>
    <col min="5" max="5" width="10.17578125" customWidth="1"/>
  </cols>
  <sheetData>
    <row r="3" spans="1:17" x14ac:dyDescent="0.5">
      <c r="A3" s="47" t="s">
        <v>64</v>
      </c>
      <c r="B3" s="47"/>
      <c r="C3" s="47"/>
      <c r="D3" s="47"/>
      <c r="E3" s="47"/>
      <c r="F3" s="47"/>
      <c r="G3" s="47"/>
      <c r="J3" s="47" t="s">
        <v>68</v>
      </c>
      <c r="K3" s="47"/>
      <c r="L3" s="47"/>
      <c r="M3" s="47"/>
      <c r="N3" s="47"/>
      <c r="O3" s="47"/>
      <c r="P3" s="47"/>
      <c r="Q3" s="47"/>
    </row>
    <row r="4" spans="1:17" ht="46.7" x14ac:dyDescent="0.5">
      <c r="A4" s="6" t="s">
        <v>65</v>
      </c>
      <c r="B4" s="6" t="s">
        <v>0</v>
      </c>
      <c r="C4" s="6" t="s">
        <v>1</v>
      </c>
      <c r="D4" s="6" t="s">
        <v>43</v>
      </c>
      <c r="E4" s="6" t="s">
        <v>66</v>
      </c>
      <c r="F4" s="6" t="s">
        <v>67</v>
      </c>
      <c r="G4" s="6" t="s">
        <v>87</v>
      </c>
      <c r="J4" s="6" t="s">
        <v>69</v>
      </c>
      <c r="K4" s="6" t="s">
        <v>0</v>
      </c>
      <c r="L4" s="6" t="s">
        <v>70</v>
      </c>
      <c r="M4" s="6" t="s">
        <v>71</v>
      </c>
      <c r="N4" s="6" t="s">
        <v>72</v>
      </c>
      <c r="O4" s="6" t="s">
        <v>73</v>
      </c>
      <c r="P4" s="6" t="s">
        <v>74</v>
      </c>
      <c r="Q4" s="6" t="s">
        <v>75</v>
      </c>
    </row>
    <row r="5" spans="1:17" x14ac:dyDescent="0.5">
      <c r="A5" s="4" t="s">
        <v>78</v>
      </c>
      <c r="B5" s="7">
        <v>10</v>
      </c>
      <c r="C5" s="7">
        <v>1</v>
      </c>
      <c r="D5" s="8">
        <v>12.413815118964299</v>
      </c>
      <c r="E5" s="10">
        <v>417860734.20286584</v>
      </c>
      <c r="F5" s="10">
        <v>4178607342028.6582</v>
      </c>
      <c r="G5" s="10" t="s">
        <v>82</v>
      </c>
      <c r="J5" s="3" t="s">
        <v>78</v>
      </c>
      <c r="K5" s="3">
        <v>10</v>
      </c>
      <c r="L5" s="11">
        <v>4390000000000</v>
      </c>
      <c r="M5" s="11">
        <v>188000000000</v>
      </c>
      <c r="N5" s="9">
        <v>4.2799999999999998E-2</v>
      </c>
      <c r="O5" s="48">
        <v>4340000000000</v>
      </c>
      <c r="P5" s="48">
        <v>262000000000</v>
      </c>
      <c r="Q5" s="51">
        <v>6.0199999999999997E-2</v>
      </c>
    </row>
    <row r="6" spans="1:17" x14ac:dyDescent="0.5">
      <c r="A6" s="4" t="s">
        <v>78</v>
      </c>
      <c r="B6" s="7">
        <v>10</v>
      </c>
      <c r="C6" s="7">
        <v>2</v>
      </c>
      <c r="D6" s="8">
        <v>12.307339708089501</v>
      </c>
      <c r="E6" s="10">
        <v>448451279.71337122</v>
      </c>
      <c r="F6" s="10">
        <v>4484512797133.7119</v>
      </c>
      <c r="G6" s="10" t="s">
        <v>82</v>
      </c>
      <c r="J6" s="3" t="s">
        <v>78</v>
      </c>
      <c r="K6" s="3">
        <v>100</v>
      </c>
      <c r="L6" s="11">
        <v>4520000000000</v>
      </c>
      <c r="M6" s="11">
        <v>158000000000</v>
      </c>
      <c r="N6" s="9">
        <v>3.5000000000000003E-2</v>
      </c>
      <c r="O6" s="49"/>
      <c r="P6" s="49"/>
      <c r="Q6" s="52"/>
    </row>
    <row r="7" spans="1:17" x14ac:dyDescent="0.5">
      <c r="A7" s="4" t="s">
        <v>78</v>
      </c>
      <c r="B7" s="7">
        <v>10</v>
      </c>
      <c r="C7" s="7">
        <v>3</v>
      </c>
      <c r="D7" s="8">
        <v>12.2949951232667</v>
      </c>
      <c r="E7" s="10">
        <v>452139746.1607241</v>
      </c>
      <c r="F7" s="10">
        <v>4521397461607.2412</v>
      </c>
      <c r="G7" s="10" t="s">
        <v>82</v>
      </c>
      <c r="J7" s="3" t="s">
        <v>78</v>
      </c>
      <c r="K7" s="3">
        <v>1000</v>
      </c>
      <c r="L7" s="11">
        <v>4340000000000</v>
      </c>
      <c r="M7" s="11">
        <v>248000000000</v>
      </c>
      <c r="N7" s="9">
        <v>5.7299999999999997E-2</v>
      </c>
      <c r="O7" s="49"/>
      <c r="P7" s="49"/>
      <c r="Q7" s="52"/>
    </row>
    <row r="8" spans="1:17" x14ac:dyDescent="0.5">
      <c r="A8" s="4" t="s">
        <v>78</v>
      </c>
      <c r="B8" s="7">
        <v>100</v>
      </c>
      <c r="C8" s="7">
        <v>1</v>
      </c>
      <c r="D8" s="8">
        <v>15.731697498139701</v>
      </c>
      <c r="E8" s="10">
        <v>46227034.781108841</v>
      </c>
      <c r="F8" s="10">
        <v>4622703478110.8838</v>
      </c>
      <c r="G8" s="10" t="s">
        <v>82</v>
      </c>
      <c r="J8" s="3" t="s">
        <v>78</v>
      </c>
      <c r="K8" s="3">
        <v>10000</v>
      </c>
      <c r="L8" s="11">
        <v>4130000000000</v>
      </c>
      <c r="M8" s="11">
        <v>362000000000</v>
      </c>
      <c r="N8" s="9">
        <v>8.77E-2</v>
      </c>
      <c r="O8" s="50"/>
      <c r="P8" s="50"/>
      <c r="Q8" s="53"/>
    </row>
    <row r="9" spans="1:17" x14ac:dyDescent="0.5">
      <c r="A9" s="4" t="s">
        <v>78</v>
      </c>
      <c r="B9" s="7">
        <v>100</v>
      </c>
      <c r="C9" s="7">
        <v>2</v>
      </c>
      <c r="D9" s="8">
        <v>15.826735474026901</v>
      </c>
      <c r="E9" s="10">
        <v>43401858.953432515</v>
      </c>
      <c r="F9" s="10">
        <v>4340185895343.252</v>
      </c>
      <c r="G9" s="10" t="s">
        <v>82</v>
      </c>
      <c r="J9" s="3" t="s">
        <v>76</v>
      </c>
      <c r="K9" s="3">
        <v>10</v>
      </c>
      <c r="L9" s="11">
        <v>4460000000000</v>
      </c>
      <c r="M9" s="11">
        <v>234000000000</v>
      </c>
      <c r="N9" s="9">
        <v>5.2400000000000002E-2</v>
      </c>
      <c r="O9" s="48">
        <v>4640000000000</v>
      </c>
      <c r="P9" s="48">
        <v>394000000000</v>
      </c>
      <c r="Q9" s="51">
        <v>8.4900000000000003E-2</v>
      </c>
    </row>
    <row r="10" spans="1:17" x14ac:dyDescent="0.5">
      <c r="A10" s="4" t="s">
        <v>78</v>
      </c>
      <c r="B10" s="7">
        <v>100</v>
      </c>
      <c r="C10" s="7">
        <v>3</v>
      </c>
      <c r="D10" s="8">
        <v>15.7375356765947</v>
      </c>
      <c r="E10" s="10">
        <v>46048301.009727113</v>
      </c>
      <c r="F10" s="10">
        <v>4604830100972.7119</v>
      </c>
      <c r="G10" s="10" t="s">
        <v>82</v>
      </c>
      <c r="J10" s="3" t="s">
        <v>76</v>
      </c>
      <c r="K10" s="3">
        <v>100</v>
      </c>
      <c r="L10" s="11">
        <v>5210000000000</v>
      </c>
      <c r="M10" s="11">
        <v>259000000000</v>
      </c>
      <c r="N10" s="9">
        <v>4.9700000000000001E-2</v>
      </c>
      <c r="O10" s="49"/>
      <c r="P10" s="49"/>
      <c r="Q10" s="52"/>
    </row>
    <row r="11" spans="1:17" x14ac:dyDescent="0.5">
      <c r="A11" s="4" t="s">
        <v>78</v>
      </c>
      <c r="B11" s="7">
        <v>1000</v>
      </c>
      <c r="C11" s="7">
        <v>1</v>
      </c>
      <c r="D11" s="8">
        <v>19.314273007479599</v>
      </c>
      <c r="E11" s="10">
        <v>4290245.9185035285</v>
      </c>
      <c r="F11" s="10">
        <v>4290245918503.5293</v>
      </c>
      <c r="G11" s="10" t="s">
        <v>82</v>
      </c>
      <c r="J11" s="3" t="s">
        <v>76</v>
      </c>
      <c r="K11" s="3">
        <v>1000</v>
      </c>
      <c r="L11" s="11">
        <v>4460000000000</v>
      </c>
      <c r="M11" s="11">
        <v>255000000000</v>
      </c>
      <c r="N11" s="9">
        <v>5.7099999999999998E-2</v>
      </c>
      <c r="O11" s="49"/>
      <c r="P11" s="49"/>
      <c r="Q11" s="52"/>
    </row>
    <row r="12" spans="1:17" x14ac:dyDescent="0.5">
      <c r="A12" s="4" t="s">
        <v>78</v>
      </c>
      <c r="B12" s="7">
        <v>1000</v>
      </c>
      <c r="C12" s="7">
        <v>2</v>
      </c>
      <c r="D12" s="8">
        <v>19.208319208049399</v>
      </c>
      <c r="E12" s="10">
        <v>4602730.8032383481</v>
      </c>
      <c r="F12" s="10">
        <v>4602730803238.3477</v>
      </c>
      <c r="G12" s="10" t="s">
        <v>82</v>
      </c>
      <c r="J12" s="3" t="s">
        <v>76</v>
      </c>
      <c r="K12" s="3">
        <v>10000</v>
      </c>
      <c r="L12" s="11">
        <v>4420000000000</v>
      </c>
      <c r="M12" s="11">
        <v>129000000000</v>
      </c>
      <c r="N12" s="9">
        <v>2.92E-2</v>
      </c>
      <c r="O12" s="50"/>
      <c r="P12" s="50"/>
      <c r="Q12" s="53"/>
    </row>
    <row r="13" spans="1:17" x14ac:dyDescent="0.5">
      <c r="A13" s="4" t="s">
        <v>78</v>
      </c>
      <c r="B13" s="7">
        <v>1000</v>
      </c>
      <c r="C13" s="7">
        <v>3</v>
      </c>
      <c r="D13" s="8">
        <v>19.378108372753999</v>
      </c>
      <c r="E13" s="10">
        <v>4112314.6662973296</v>
      </c>
      <c r="F13" s="10">
        <v>4112314666297.3296</v>
      </c>
      <c r="G13" s="10" t="s">
        <v>82</v>
      </c>
      <c r="J13" s="3" t="s">
        <v>77</v>
      </c>
      <c r="K13" s="3">
        <v>10</v>
      </c>
      <c r="L13" s="11">
        <v>76800000000</v>
      </c>
      <c r="M13" s="11">
        <v>1060000000</v>
      </c>
      <c r="N13" s="9">
        <v>1.38E-2</v>
      </c>
      <c r="O13" s="48">
        <v>68800000000</v>
      </c>
      <c r="P13" s="48">
        <v>8070000000</v>
      </c>
      <c r="Q13" s="51">
        <v>0.1174</v>
      </c>
    </row>
    <row r="14" spans="1:17" x14ac:dyDescent="0.5">
      <c r="A14" s="4" t="s">
        <v>78</v>
      </c>
      <c r="B14" s="7">
        <v>10000</v>
      </c>
      <c r="C14" s="7">
        <v>1</v>
      </c>
      <c r="D14" s="8">
        <v>22.7713828518546</v>
      </c>
      <c r="E14" s="10">
        <v>432737.55349371448</v>
      </c>
      <c r="F14" s="10">
        <v>4327375534937.1445</v>
      </c>
      <c r="G14" s="10" t="s">
        <v>82</v>
      </c>
      <c r="J14" s="3" t="s">
        <v>77</v>
      </c>
      <c r="K14" s="3">
        <v>100</v>
      </c>
      <c r="L14" s="11">
        <v>71000000000</v>
      </c>
      <c r="M14" s="11">
        <v>5340000000</v>
      </c>
      <c r="N14" s="9">
        <v>7.5200000000000003E-2</v>
      </c>
      <c r="O14" s="49"/>
      <c r="P14" s="49"/>
      <c r="Q14" s="52"/>
    </row>
    <row r="15" spans="1:17" x14ac:dyDescent="0.5">
      <c r="A15" s="4" t="s">
        <v>78</v>
      </c>
      <c r="B15" s="7">
        <v>10000</v>
      </c>
      <c r="C15" s="7">
        <v>2</v>
      </c>
      <c r="D15" s="8">
        <v>23.0044110035487</v>
      </c>
      <c r="E15" s="10">
        <v>370741.63654638745</v>
      </c>
      <c r="F15" s="10">
        <v>3707416365463.8745</v>
      </c>
      <c r="G15" s="10" t="s">
        <v>82</v>
      </c>
      <c r="J15" s="3" t="s">
        <v>77</v>
      </c>
      <c r="K15" s="3">
        <v>1000</v>
      </c>
      <c r="L15" s="11">
        <v>60600000000</v>
      </c>
      <c r="M15" s="11">
        <v>1990000000</v>
      </c>
      <c r="N15" s="9">
        <v>3.2800000000000003E-2</v>
      </c>
      <c r="O15" s="49"/>
      <c r="P15" s="49"/>
      <c r="Q15" s="52"/>
    </row>
    <row r="16" spans="1:17" x14ac:dyDescent="0.5">
      <c r="A16" s="4" t="s">
        <v>78</v>
      </c>
      <c r="B16" s="7">
        <v>10000</v>
      </c>
      <c r="C16" s="7">
        <v>3</v>
      </c>
      <c r="D16" s="8">
        <v>22.7668421940058</v>
      </c>
      <c r="E16" s="10">
        <v>434043.33929166629</v>
      </c>
      <c r="F16" s="10">
        <v>4340433392916.6631</v>
      </c>
      <c r="G16" s="10" t="s">
        <v>82</v>
      </c>
      <c r="J16" s="3" t="s">
        <v>77</v>
      </c>
      <c r="K16" s="3">
        <v>10000</v>
      </c>
      <c r="L16" s="11">
        <v>66600000000</v>
      </c>
      <c r="M16" s="11">
        <v>10700000000</v>
      </c>
      <c r="N16" s="9">
        <v>0.1603</v>
      </c>
      <c r="O16" s="50"/>
      <c r="P16" s="50"/>
      <c r="Q16" s="53"/>
    </row>
    <row r="17" spans="1:7" x14ac:dyDescent="0.5">
      <c r="A17" s="4" t="s">
        <v>76</v>
      </c>
      <c r="B17" s="7">
        <v>10</v>
      </c>
      <c r="C17" s="7">
        <v>1</v>
      </c>
      <c r="D17" s="8">
        <v>12.3716638592753</v>
      </c>
      <c r="E17" s="10">
        <v>429713069.66176659</v>
      </c>
      <c r="F17" s="10">
        <v>4297130696617.666</v>
      </c>
      <c r="G17" s="10" t="s">
        <v>82</v>
      </c>
    </row>
    <row r="18" spans="1:7" x14ac:dyDescent="0.5">
      <c r="A18" s="4" t="s">
        <v>76</v>
      </c>
      <c r="B18" s="7">
        <v>10</v>
      </c>
      <c r="C18" s="7">
        <v>2</v>
      </c>
      <c r="D18" s="8">
        <v>12.3481404034044</v>
      </c>
      <c r="E18" s="10">
        <v>436473085.40809941</v>
      </c>
      <c r="F18" s="10">
        <v>4364730854080.9941</v>
      </c>
      <c r="G18" s="10" t="s">
        <v>82</v>
      </c>
    </row>
    <row r="19" spans="1:7" x14ac:dyDescent="0.5">
      <c r="A19" s="4" t="s">
        <v>76</v>
      </c>
      <c r="B19" s="7">
        <v>10</v>
      </c>
      <c r="C19" s="7">
        <v>3</v>
      </c>
      <c r="D19" s="8">
        <v>12.2263066438168</v>
      </c>
      <c r="E19" s="10">
        <v>473224354.50110555</v>
      </c>
      <c r="F19" s="10">
        <v>4732243545011.0547</v>
      </c>
      <c r="G19" s="10" t="s">
        <v>82</v>
      </c>
    </row>
    <row r="20" spans="1:7" x14ac:dyDescent="0.5">
      <c r="A20" s="4" t="s">
        <v>76</v>
      </c>
      <c r="B20" s="7">
        <v>100</v>
      </c>
      <c r="C20" s="7">
        <v>1</v>
      </c>
      <c r="D20" s="8">
        <v>15.5840935103636</v>
      </c>
      <c r="E20" s="10">
        <v>50983779.607086934</v>
      </c>
      <c r="F20" s="10">
        <v>5098377960708.6934</v>
      </c>
      <c r="G20" s="10" t="s">
        <v>82</v>
      </c>
    </row>
    <row r="21" spans="1:7" x14ac:dyDescent="0.5">
      <c r="A21" s="4" t="s">
        <v>76</v>
      </c>
      <c r="B21" s="7">
        <v>100</v>
      </c>
      <c r="C21" s="7">
        <v>2</v>
      </c>
      <c r="D21" s="8">
        <v>15.4690317073304</v>
      </c>
      <c r="E21" s="10">
        <v>55028810.937208481</v>
      </c>
      <c r="F21" s="10">
        <v>5502881093720.8486</v>
      </c>
      <c r="G21" s="10" t="s">
        <v>82</v>
      </c>
    </row>
    <row r="22" spans="1:7" x14ac:dyDescent="0.5">
      <c r="A22" s="4" t="s">
        <v>76</v>
      </c>
      <c r="B22" s="7">
        <v>100</v>
      </c>
      <c r="C22" s="7">
        <v>3</v>
      </c>
      <c r="D22" s="8">
        <v>15.6070438396849</v>
      </c>
      <c r="E22" s="10">
        <v>50213244.497310862</v>
      </c>
      <c r="F22" s="10">
        <v>5021324449731.0859</v>
      </c>
      <c r="G22" s="10" t="s">
        <v>82</v>
      </c>
    </row>
    <row r="23" spans="1:7" x14ac:dyDescent="0.5">
      <c r="A23" s="4" t="s">
        <v>76</v>
      </c>
      <c r="B23" s="7">
        <v>1000</v>
      </c>
      <c r="C23" s="7">
        <v>1</v>
      </c>
      <c r="D23" s="8">
        <v>19.1604184969407</v>
      </c>
      <c r="E23" s="10">
        <v>4751376.3501697984</v>
      </c>
      <c r="F23" s="10">
        <v>4751376350169.7979</v>
      </c>
      <c r="G23" s="10" t="s">
        <v>82</v>
      </c>
    </row>
    <row r="24" spans="1:7" x14ac:dyDescent="0.5">
      <c r="A24" s="4" t="s">
        <v>76</v>
      </c>
      <c r="B24" s="7">
        <v>1000</v>
      </c>
      <c r="C24" s="7">
        <v>2</v>
      </c>
      <c r="D24" s="8">
        <v>19.314104796449602</v>
      </c>
      <c r="E24" s="10">
        <v>4290724.807713991</v>
      </c>
      <c r="F24" s="10">
        <v>4290724807713.9917</v>
      </c>
      <c r="G24" s="10" t="s">
        <v>82</v>
      </c>
    </row>
    <row r="25" spans="1:7" x14ac:dyDescent="0.5">
      <c r="A25" s="4" t="s">
        <v>76</v>
      </c>
      <c r="B25" s="7">
        <v>1000</v>
      </c>
      <c r="C25" s="7">
        <v>3</v>
      </c>
      <c r="D25" s="8">
        <v>19.299504235099601</v>
      </c>
      <c r="E25" s="10">
        <v>4332496.285512316</v>
      </c>
      <c r="F25" s="10">
        <v>4332496285512.3154</v>
      </c>
      <c r="G25" s="10" t="s">
        <v>82</v>
      </c>
    </row>
    <row r="26" spans="1:7" x14ac:dyDescent="0.5">
      <c r="A26" s="4" t="s">
        <v>76</v>
      </c>
      <c r="B26" s="7">
        <v>10000</v>
      </c>
      <c r="C26" s="7">
        <v>1</v>
      </c>
      <c r="D26" s="8">
        <v>22.690386573100501</v>
      </c>
      <c r="E26" s="10">
        <v>456631.43402692035</v>
      </c>
      <c r="F26" s="10">
        <v>4566314340269.2031</v>
      </c>
      <c r="G26" s="10" t="s">
        <v>82</v>
      </c>
    </row>
    <row r="27" spans="1:7" x14ac:dyDescent="0.5">
      <c r="A27" s="4" t="s">
        <v>76</v>
      </c>
      <c r="B27" s="7">
        <v>10000</v>
      </c>
      <c r="C27" s="7">
        <v>2</v>
      </c>
      <c r="D27" s="8">
        <v>22.775082765946301</v>
      </c>
      <c r="E27" s="10">
        <v>431676.45089359162</v>
      </c>
      <c r="F27" s="10">
        <v>4316764508935.916</v>
      </c>
      <c r="G27" s="10" t="s">
        <v>82</v>
      </c>
    </row>
    <row r="28" spans="1:7" x14ac:dyDescent="0.5">
      <c r="A28" s="4" t="s">
        <v>76</v>
      </c>
      <c r="B28" s="7">
        <v>10000</v>
      </c>
      <c r="C28" s="7">
        <v>3</v>
      </c>
      <c r="D28" s="8">
        <v>22.7516108963714</v>
      </c>
      <c r="E28" s="10">
        <v>438452.34496527881</v>
      </c>
      <c r="F28" s="10">
        <v>4384523449652.7881</v>
      </c>
      <c r="G28" s="10" t="s">
        <v>82</v>
      </c>
    </row>
    <row r="29" spans="1:7" x14ac:dyDescent="0.5">
      <c r="A29" s="4" t="s">
        <v>77</v>
      </c>
      <c r="B29" s="7">
        <v>10</v>
      </c>
      <c r="C29" s="7">
        <v>1</v>
      </c>
      <c r="D29" s="8">
        <v>18.414659986645098</v>
      </c>
      <c r="E29" s="10">
        <v>7793444.7859041104</v>
      </c>
      <c r="F29" s="10">
        <v>77934447859.041107</v>
      </c>
      <c r="G29" s="10" t="s">
        <v>82</v>
      </c>
    </row>
    <row r="30" spans="1:7" x14ac:dyDescent="0.5">
      <c r="A30" s="4" t="s">
        <v>77</v>
      </c>
      <c r="B30" s="7">
        <v>10</v>
      </c>
      <c r="C30" s="7">
        <v>2</v>
      </c>
      <c r="D30" s="8">
        <v>18.456223868852</v>
      </c>
      <c r="E30" s="10">
        <v>7581440.5078703826</v>
      </c>
      <c r="F30" s="10">
        <v>75814405078.703827</v>
      </c>
      <c r="G30" s="10" t="s">
        <v>82</v>
      </c>
    </row>
    <row r="31" spans="1:7" x14ac:dyDescent="0.5">
      <c r="A31" s="4" t="s">
        <v>77</v>
      </c>
      <c r="B31" s="7">
        <v>10</v>
      </c>
      <c r="C31" s="7">
        <v>3</v>
      </c>
      <c r="D31" s="8">
        <v>18.437626670133898</v>
      </c>
      <c r="E31" s="10">
        <v>7675576.5237857383</v>
      </c>
      <c r="F31" s="10">
        <v>76755765237.857376</v>
      </c>
      <c r="G31" s="10" t="s">
        <v>82</v>
      </c>
    </row>
    <row r="32" spans="1:7" x14ac:dyDescent="0.5">
      <c r="A32" s="4" t="s">
        <v>77</v>
      </c>
      <c r="B32" s="7">
        <v>100</v>
      </c>
      <c r="C32" s="7">
        <v>1</v>
      </c>
      <c r="D32" s="8">
        <v>22.074059925244299</v>
      </c>
      <c r="E32" s="10">
        <v>687347.91987491224</v>
      </c>
      <c r="F32" s="10">
        <v>68734791987.491211</v>
      </c>
      <c r="G32" s="10" t="s">
        <v>82</v>
      </c>
    </row>
    <row r="33" spans="1:7" x14ac:dyDescent="0.5">
      <c r="A33" s="4" t="s">
        <v>77</v>
      </c>
      <c r="B33" s="7">
        <v>100</v>
      </c>
      <c r="C33" s="7">
        <v>2</v>
      </c>
      <c r="D33" s="8">
        <v>21.901653243361</v>
      </c>
      <c r="E33" s="10">
        <v>770655.29412582493</v>
      </c>
      <c r="F33" s="10">
        <v>77065529412.582489</v>
      </c>
      <c r="G33" s="10" t="s">
        <v>82</v>
      </c>
    </row>
    <row r="34" spans="1:7" x14ac:dyDescent="0.5">
      <c r="A34" s="4" t="s">
        <v>77</v>
      </c>
      <c r="B34" s="7">
        <v>100</v>
      </c>
      <c r="C34" s="7">
        <v>3</v>
      </c>
      <c r="D34" s="8">
        <v>22.1098452752958</v>
      </c>
      <c r="E34" s="10">
        <v>671218.82464231446</v>
      </c>
      <c r="F34" s="10">
        <v>67121882464.231445</v>
      </c>
      <c r="G34" s="10" t="s">
        <v>82</v>
      </c>
    </row>
    <row r="35" spans="1:7" x14ac:dyDescent="0.5">
      <c r="A35" s="4" t="s">
        <v>77</v>
      </c>
      <c r="B35" s="7">
        <v>1000</v>
      </c>
      <c r="C35" s="7">
        <v>1</v>
      </c>
      <c r="D35" s="8">
        <v>25.6976146327533</v>
      </c>
      <c r="E35" s="10">
        <v>62080.260910623867</v>
      </c>
      <c r="F35" s="10">
        <v>62080260910.623863</v>
      </c>
      <c r="G35" s="10" t="s">
        <v>82</v>
      </c>
    </row>
    <row r="36" spans="1:7" x14ac:dyDescent="0.5">
      <c r="A36" s="4" t="s">
        <v>77</v>
      </c>
      <c r="B36" s="7">
        <v>1000</v>
      </c>
      <c r="C36" s="7">
        <v>2</v>
      </c>
      <c r="D36" s="8">
        <v>25.790272253305201</v>
      </c>
      <c r="E36" s="10">
        <v>58378.346568834029</v>
      </c>
      <c r="F36" s="10">
        <v>58378346568.83403</v>
      </c>
      <c r="G36" s="10" t="s">
        <v>82</v>
      </c>
    </row>
    <row r="37" spans="1:7" x14ac:dyDescent="0.5">
      <c r="A37" s="4" t="s">
        <v>77</v>
      </c>
      <c r="B37" s="7">
        <v>1000</v>
      </c>
      <c r="C37" s="7">
        <v>3</v>
      </c>
      <c r="D37" s="8">
        <v>25.712093790681202</v>
      </c>
      <c r="E37" s="10">
        <v>61486.67116361871</v>
      </c>
      <c r="F37" s="10">
        <v>61486671163.618713</v>
      </c>
      <c r="G37" s="10" t="s">
        <v>82</v>
      </c>
    </row>
    <row r="38" spans="1:7" x14ac:dyDescent="0.5">
      <c r="A38" s="4" t="s">
        <v>77</v>
      </c>
      <c r="B38" s="7">
        <v>10000</v>
      </c>
      <c r="C38" s="7">
        <v>1</v>
      </c>
      <c r="D38" s="8">
        <v>28.806862002191998</v>
      </c>
      <c r="E38" s="10">
        <v>7887.5422963702977</v>
      </c>
      <c r="F38" s="10">
        <v>78875422963.702988</v>
      </c>
      <c r="G38" s="10" t="s">
        <v>82</v>
      </c>
    </row>
    <row r="39" spans="1:7" x14ac:dyDescent="0.5">
      <c r="A39" s="4" t="s">
        <v>77</v>
      </c>
      <c r="B39" s="7">
        <v>10000</v>
      </c>
      <c r="C39" s="7">
        <v>2</v>
      </c>
      <c r="D39" s="8">
        <v>29.209738056645001</v>
      </c>
      <c r="E39" s="10">
        <v>6037.2938524212568</v>
      </c>
      <c r="F39" s="10">
        <v>60372938524.21257</v>
      </c>
      <c r="G39" s="10" t="s">
        <v>82</v>
      </c>
    </row>
    <row r="40" spans="1:7" x14ac:dyDescent="0.5">
      <c r="A40" s="4" t="s">
        <v>77</v>
      </c>
      <c r="B40" s="7">
        <v>10000</v>
      </c>
      <c r="C40" s="7">
        <v>3</v>
      </c>
      <c r="D40" s="8">
        <v>29.208762805939902</v>
      </c>
      <c r="E40" s="10">
        <v>6041.2020208797539</v>
      </c>
      <c r="F40" s="10">
        <v>60412020208.797531</v>
      </c>
      <c r="G40" s="10" t="s">
        <v>82</v>
      </c>
    </row>
    <row r="41" spans="1:7" x14ac:dyDescent="0.5">
      <c r="A41" s="5"/>
    </row>
  </sheetData>
  <mergeCells count="11">
    <mergeCell ref="A3:G3"/>
    <mergeCell ref="O13:O16"/>
    <mergeCell ref="P13:P16"/>
    <mergeCell ref="Q13:Q16"/>
    <mergeCell ref="J3:Q3"/>
    <mergeCell ref="O5:O8"/>
    <mergeCell ref="P5:P8"/>
    <mergeCell ref="Q5:Q8"/>
    <mergeCell ref="O9:O12"/>
    <mergeCell ref="P9:P12"/>
    <mergeCell ref="Q9:Q12"/>
  </mergeCells>
  <conditionalFormatting sqref="N5:N16">
    <cfRule type="expression" dxfId="0" priority="1">
      <formula>N5&gt;20%</formula>
    </cfRule>
  </conditionalFormatting>
  <dataValidations count="1">
    <dataValidation type="list" allowBlank="1" showInputMessage="1" showErrorMessage="1" sqref="G5:G1048576" xr:uid="{8EB09DF2-8AA7-40BB-8B5A-EB08CADFAC34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ample_analysis">
                <anchor moveWithCells="1" sizeWithCells="1">
                  <from>
                    <xdr:col>7</xdr:col>
                    <xdr:colOff>114300</xdr:colOff>
                    <xdr:row>3</xdr:row>
                    <xdr:rowOff>59267</xdr:rowOff>
                  </from>
                  <to>
                    <xdr:col>8</xdr:col>
                    <xdr:colOff>474133</xdr:colOff>
                    <xdr:row>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mple_processor">
                <anchor moveWithCells="1" sizeWithCells="1">
                  <from>
                    <xdr:col>7</xdr:col>
                    <xdr:colOff>122767</xdr:colOff>
                    <xdr:row>9</xdr:row>
                    <xdr:rowOff>59267</xdr:rowOff>
                  </from>
                  <to>
                    <xdr:col>8</xdr:col>
                    <xdr:colOff>524933</xdr:colOff>
                    <xdr:row>13</xdr:row>
                    <xdr:rowOff>93133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ToggleExclusion">
                <anchor moveWithCells="1" sizeWithCells="1">
                  <from>
                    <xdr:col>7</xdr:col>
                    <xdr:colOff>186267</xdr:colOff>
                    <xdr:row>5</xdr:row>
                    <xdr:rowOff>88900</xdr:rowOff>
                  </from>
                  <to>
                    <xdr:col>8</xdr:col>
                    <xdr:colOff>448733</xdr:colOff>
                    <xdr:row>8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PlateLayout</vt:lpstr>
      <vt:lpstr>Standards</vt:lpstr>
      <vt:lpstr>Samples</vt:lpstr>
      <vt:lpstr>std_CT_range</vt:lpstr>
      <vt:lpstr>std_efficiency</vt:lpstr>
      <vt:lpstr>std_logconc_range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Valinhas</dc:creator>
  <cp:lastModifiedBy>Omar Eweis</cp:lastModifiedBy>
  <dcterms:created xsi:type="dcterms:W3CDTF">2024-09-19T10:29:10Z</dcterms:created>
  <dcterms:modified xsi:type="dcterms:W3CDTF">2024-11-13T23:39:17Z</dcterms:modified>
</cp:coreProperties>
</file>